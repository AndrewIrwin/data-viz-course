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rwin/git-repos/data-viz-course/data-viz/"/>
    </mc:Choice>
  </mc:AlternateContent>
  <xr:revisionPtr revIDLastSave="0" documentId="13_ncr:1_{68B00CFE-E532-F74D-B84F-F0F4D92A1E85}" xr6:coauthVersionLast="47" xr6:coauthVersionMax="47" xr10:uidLastSave="{00000000-0000-0000-0000-000000000000}"/>
  <bookViews>
    <workbookView xWindow="0" yWindow="500" windowWidth="38400" windowHeight="19400" xr2:uid="{D262D957-99A2-4240-BB5D-74EA57927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33" i="1"/>
  <c r="C8" i="1"/>
  <c r="C31" i="1"/>
  <c r="C3" i="1"/>
  <c r="C4" i="1"/>
  <c r="C5" i="1"/>
  <c r="C6" i="1"/>
  <c r="C7" i="1"/>
  <c r="C9" i="1"/>
  <c r="C10" i="1"/>
  <c r="C11" i="1"/>
  <c r="C12" i="1"/>
  <c r="C13" i="1"/>
  <c r="C14" i="1"/>
  <c r="C18" i="1"/>
  <c r="C16" i="1"/>
  <c r="C17" i="1"/>
  <c r="C21" i="1"/>
  <c r="C19" i="1"/>
  <c r="C20" i="1"/>
  <c r="C23" i="1"/>
  <c r="C24" i="1"/>
  <c r="C25" i="1"/>
  <c r="C26" i="1"/>
  <c r="C22" i="1"/>
  <c r="C28" i="1"/>
  <c r="C27" i="1"/>
  <c r="C29" i="1"/>
  <c r="C30" i="1"/>
  <c r="C34" i="1"/>
  <c r="C35" i="1"/>
  <c r="C36" i="1"/>
  <c r="C32" i="1"/>
  <c r="C37" i="1"/>
  <c r="C40" i="1"/>
  <c r="C38" i="1"/>
  <c r="C39" i="1"/>
  <c r="C41" i="1"/>
  <c r="C42" i="1"/>
  <c r="C43" i="1"/>
  <c r="C45" i="1"/>
  <c r="C44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<sst xmlns="http://schemas.openxmlformats.org/spreadsheetml/2006/main" count="285" uniqueCount="219">
  <si>
    <t>Date</t>
  </si>
  <si>
    <t>Week</t>
  </si>
  <si>
    <t>Lesson</t>
  </si>
  <si>
    <t>Invitation</t>
  </si>
  <si>
    <t>Course mechanics</t>
  </si>
  <si>
    <t>Computer tools</t>
  </si>
  <si>
    <t>Day</t>
  </si>
  <si>
    <t>Accessing computer tools</t>
  </si>
  <si>
    <t>Look at data</t>
  </si>
  <si>
    <t>slides_link</t>
  </si>
  <si>
    <t>Slides</t>
  </si>
  <si>
    <t>slides</t>
  </si>
  <si>
    <t>#task-b1</t>
  </si>
  <si>
    <t>#task-3</t>
  </si>
  <si>
    <t>#task-2</t>
  </si>
  <si>
    <t>Making your first plot</t>
  </si>
  <si>
    <t>Version control</t>
  </si>
  <si>
    <t>Introduction to the grammar of graphics</t>
  </si>
  <si>
    <t>Using the grammar of graphics</t>
  </si>
  <si>
    <t>#task-b2</t>
  </si>
  <si>
    <t>#task-5</t>
  </si>
  <si>
    <t>#task-6</t>
  </si>
  <si>
    <t>#task-7</t>
  </si>
  <si>
    <t>#task-8</t>
  </si>
  <si>
    <t>Summarizing data</t>
  </si>
  <si>
    <t>Reading data</t>
  </si>
  <si>
    <t>Reshaping data</t>
  </si>
  <si>
    <t>Plotting facets</t>
  </si>
  <si>
    <t>Working with models</t>
  </si>
  <si>
    <t>Linear models</t>
  </si>
  <si>
    <t>LOESS and GAM</t>
  </si>
  <si>
    <t>PCA</t>
  </si>
  <si>
    <t>MDS</t>
  </si>
  <si>
    <t>K-means</t>
  </si>
  <si>
    <t>Reproducible reports</t>
  </si>
  <si>
    <t>Slide presentations</t>
  </si>
  <si>
    <t>Making maps</t>
  </si>
  <si>
    <t>Themes</t>
  </si>
  <si>
    <t>Graphics output</t>
  </si>
  <si>
    <t>#task-b3</t>
  </si>
  <si>
    <t>#task-b4</t>
  </si>
  <si>
    <t>Displaying tables</t>
  </si>
  <si>
    <t>#task-b5</t>
  </si>
  <si>
    <t>Getting help</t>
  </si>
  <si>
    <t>#task-b6</t>
  </si>
  <si>
    <t>Project teams sign-up deadline</t>
  </si>
  <si>
    <t>Collaboration with GitHub</t>
  </si>
  <si>
    <t>#task-b7</t>
  </si>
  <si>
    <t>#task-9</t>
  </si>
  <si>
    <t>#task-10</t>
  </si>
  <si>
    <t>#task-11</t>
  </si>
  <si>
    <t>#task-b8</t>
  </si>
  <si>
    <t>#task-12</t>
  </si>
  <si>
    <t>Finding data</t>
  </si>
  <si>
    <t>Using colour</t>
  </si>
  <si>
    <t>Factors and Dates</t>
  </si>
  <si>
    <t>More about maps</t>
  </si>
  <si>
    <t>Alternatives to maps</t>
  </si>
  <si>
    <t>Dynamic graphics</t>
  </si>
  <si>
    <t>Reconstructing a visualization</t>
  </si>
  <si>
    <t>#task-13</t>
  </si>
  <si>
    <t>#task-14</t>
  </si>
  <si>
    <t>#task-b9</t>
  </si>
  <si>
    <t>#task-15</t>
  </si>
  <si>
    <t>#task-16</t>
  </si>
  <si>
    <t>#task-b10</t>
  </si>
  <si>
    <t>#task-17</t>
  </si>
  <si>
    <t>#task-18</t>
  </si>
  <si>
    <t>Checking your work</t>
  </si>
  <si>
    <t>Assignment 1 due</t>
  </si>
  <si>
    <t>Assignment 3 due</t>
  </si>
  <si>
    <t>Assignment 4 due</t>
  </si>
  <si>
    <t>Assignment 5 due</t>
  </si>
  <si>
    <t>Setting up</t>
  </si>
  <si>
    <t>Summarize</t>
  </si>
  <si>
    <t>Facets</t>
  </si>
  <si>
    <t>Reshape</t>
  </si>
  <si>
    <t>Tables</t>
  </si>
  <si>
    <t>Reports</t>
  </si>
  <si>
    <t>Maps</t>
  </si>
  <si>
    <t>Map alternatives</t>
  </si>
  <si>
    <t>lessons/101-introduction.html</t>
  </si>
  <si>
    <t>title</t>
  </si>
  <si>
    <t>title_link</t>
  </si>
  <si>
    <t>lessons/102-intro-to-r.html</t>
  </si>
  <si>
    <t>lessons/103-setup.html</t>
  </si>
  <si>
    <t>lessons/104-look-at-data.html</t>
  </si>
  <si>
    <t>lessons/105-first-plot.html</t>
  </si>
  <si>
    <t>lessons/106-version-control.html</t>
  </si>
  <si>
    <t>lessons/107-grammar-graphics.html</t>
  </si>
  <si>
    <t>lessons/108-ggplot.html</t>
  </si>
  <si>
    <t>lessons/110-summarizing-data.html</t>
  </si>
  <si>
    <t>lessons/115-facets.html</t>
  </si>
  <si>
    <t>lessons/111-reading-data.html</t>
  </si>
  <si>
    <t>lessons/112-reshaping-data.html</t>
  </si>
  <si>
    <t>lessons/113-data-tables.html</t>
  </si>
  <si>
    <t>lessons/114-asking-questions.html</t>
  </si>
  <si>
    <t>lessons/118-working-with-models.html</t>
  </si>
  <si>
    <t>lessons/119-linear-models.html</t>
  </si>
  <si>
    <t>lessons/120-gam-loess.html</t>
  </si>
  <si>
    <t>lessons/124-collaboration.html</t>
  </si>
  <si>
    <t>lessons/301-data-sources.html</t>
  </si>
  <si>
    <t>lessons/133-reproducible-reports.html</t>
  </si>
  <si>
    <t>lessons/121-PCA.html</t>
  </si>
  <si>
    <t>lessons/122-mds.html</t>
  </si>
  <si>
    <t>lessons/123-kmean.html</t>
  </si>
  <si>
    <t>lessons/125-slides.html</t>
  </si>
  <si>
    <t>lessons/127-test-data.html</t>
  </si>
  <si>
    <t>lessons/155-dynamics-graphics.html</t>
  </si>
  <si>
    <t>lessons/140-mapping.html</t>
  </si>
  <si>
    <t>lessons/141-mapping-2.html</t>
  </si>
  <si>
    <t>lessons/142-mapping-3.html</t>
  </si>
  <si>
    <t>lessons/130-bonus-topics.html</t>
  </si>
  <si>
    <t>lessons/201-colour.html</t>
  </si>
  <si>
    <t>lessons/133-themes.html</t>
  </si>
  <si>
    <t>lessons/130-graphics-output.html</t>
  </si>
  <si>
    <t>lessons/134-reconstruction.html</t>
  </si>
  <si>
    <t>LOESS-GAM</t>
  </si>
  <si>
    <t>Team Planning</t>
  </si>
  <si>
    <t>Proposal</t>
  </si>
  <si>
    <t>Assignment 1</t>
  </si>
  <si>
    <t>Assignment 2</t>
  </si>
  <si>
    <t>Assignment 3</t>
  </si>
  <si>
    <t>Assignment 4</t>
  </si>
  <si>
    <t>Assignment 5</t>
  </si>
  <si>
    <t>#assignment-1</t>
  </si>
  <si>
    <t>#assignment-2</t>
  </si>
  <si>
    <t>#assignment-3</t>
  </si>
  <si>
    <t>#assignment-4</t>
  </si>
  <si>
    <t>#assignment-5</t>
  </si>
  <si>
    <t>#proposal</t>
  </si>
  <si>
    <t>evaluation</t>
  </si>
  <si>
    <t>evaluation_link</t>
  </si>
  <si>
    <t>#task-14a</t>
  </si>
  <si>
    <t>Presentation</t>
  </si>
  <si>
    <t>01-invitation.html</t>
  </si>
  <si>
    <t>02-computer-tools.html</t>
  </si>
  <si>
    <t>04-look-at-data.html</t>
  </si>
  <si>
    <t>05-making-your-first-plot.html</t>
  </si>
  <si>
    <t>06-version-control.html</t>
  </si>
  <si>
    <t>07-grammar-graphics.html</t>
  </si>
  <si>
    <t>08-ggplot-intro.html</t>
  </si>
  <si>
    <t>10-summarizing-data.html</t>
  </si>
  <si>
    <t>09-facets.html</t>
  </si>
  <si>
    <t>11-reading-data.html</t>
  </si>
  <si>
    <t>12-reshaping-data.html</t>
  </si>
  <si>
    <t>13-displaying-tables.html</t>
  </si>
  <si>
    <t>14-getting-help.html</t>
  </si>
  <si>
    <t>15-working-with-models.html</t>
  </si>
  <si>
    <t>16-linear-models.html</t>
  </si>
  <si>
    <t>17-gam-loess.html</t>
  </si>
  <si>
    <t>18-collaboration.html</t>
  </si>
  <si>
    <t>25-testing.html</t>
  </si>
  <si>
    <t>26-dynamic-graphics.html</t>
  </si>
  <si>
    <t>27-making-maps.html</t>
  </si>
  <si>
    <t>28-sliding-maps.html</t>
  </si>
  <si>
    <t>29-map-alternatives.html</t>
  </si>
  <si>
    <t>30-factors-dates.html</t>
  </si>
  <si>
    <t>31-colour.html</t>
  </si>
  <si>
    <t>32-theme.html</t>
  </si>
  <si>
    <t>00-course-mechanics.html</t>
  </si>
  <si>
    <t>Live demo</t>
  </si>
  <si>
    <t>demo</t>
  </si>
  <si>
    <t>demo_link</t>
  </si>
  <si>
    <t>Demo</t>
  </si>
  <si>
    <t>03-intro-tools</t>
  </si>
  <si>
    <t>05-first-plot</t>
  </si>
  <si>
    <t>06-version-control</t>
  </si>
  <si>
    <t>08-gg-practice</t>
  </si>
  <si>
    <t>09-summarize</t>
  </si>
  <si>
    <t>19-finding-data.html</t>
  </si>
  <si>
    <t>20-reproducible-reports.html</t>
  </si>
  <si>
    <t>15-working-models</t>
  </si>
  <si>
    <t>20-reports</t>
  </si>
  <si>
    <t>21-PCA.html</t>
  </si>
  <si>
    <t>22-MDS.html</t>
  </si>
  <si>
    <t>23-k-means.html</t>
  </si>
  <si>
    <t>24-slide-presentation.html</t>
  </si>
  <si>
    <t>21-PCA</t>
  </si>
  <si>
    <t>24-slides</t>
  </si>
  <si>
    <t>27-maps-1</t>
  </si>
  <si>
    <t>28-maps-2</t>
  </si>
  <si>
    <t>31-colour</t>
  </si>
  <si>
    <t>30-factors-dates</t>
  </si>
  <si>
    <t>32-theme</t>
  </si>
  <si>
    <t>33-graphics</t>
  </si>
  <si>
    <t>Reading week, no classses</t>
  </si>
  <si>
    <t>Using R</t>
  </si>
  <si>
    <t>First plot</t>
  </si>
  <si>
    <t>Get git working</t>
  </si>
  <si>
    <t>ggplot experiments</t>
  </si>
  <si>
    <t>ggplot intro</t>
  </si>
  <si>
    <t>Practice summarizing data</t>
  </si>
  <si>
    <t>#task-b2b</t>
  </si>
  <si>
    <t>13-tables</t>
  </si>
  <si>
    <t>Task</t>
  </si>
  <si>
    <t>Other data formats</t>
  </si>
  <si>
    <t>lessons/160-other-data.html</t>
  </si>
  <si>
    <t>33-other-data.html</t>
  </si>
  <si>
    <t>34-graphics-output.html</t>
  </si>
  <si>
    <t>35-step-by-step.html</t>
  </si>
  <si>
    <t>36-presentation-recording.html</t>
  </si>
  <si>
    <t>Oral presentation due</t>
  </si>
  <si>
    <t>Mid-term test</t>
  </si>
  <si>
    <t>Assignment 0 due</t>
  </si>
  <si>
    <t>Assignment 0</t>
  </si>
  <si>
    <t>#assignment-0</t>
  </si>
  <si>
    <t>Project proposal discussions</t>
  </si>
  <si>
    <t>#team-creation</t>
  </si>
  <si>
    <t>Using AI to learn</t>
  </si>
  <si>
    <t>lessons/106b-using-LLM-to-learn.html</t>
  </si>
  <si>
    <t>exercise</t>
  </si>
  <si>
    <t>exercise_link</t>
  </si>
  <si>
    <t>#task-1</t>
  </si>
  <si>
    <t>11a-using-LLM-to-learn.html</t>
  </si>
  <si>
    <t>Practice</t>
  </si>
  <si>
    <t>#task-llm</t>
  </si>
  <si>
    <t>10-facets</t>
  </si>
  <si>
    <t>Assignment 2 due (Feb 6 Munroe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</si>
</sst>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4E2AF-B146-EF4C-9336-1C427A68EF7D}">
  <dimension ref="A1:N51"/>
  <sheetViews>
    <sheetView tabSelected="1" zoomScale="130" zoomScaleNormal="130" workbookViewId="0">
      <pane xSplit="4" ySplit="1" topLeftCell="E5" activePane="bottomRight" state="frozenSplit"/>
      <selection pane="topRight" activeCell="E1" sqref="E1"/>
      <selection pane="bottomLeft" activeCell="A2" sqref="A2"/>
      <selection pane="bottomRight" activeCell="D22" sqref="D22"/>
    </sheetView>
  </sheetViews>
  <sheetFormatPr baseColWidth="10" defaultRowHeight="16" x14ac:dyDescent="0.2"/>
  <cols>
    <col min="1" max="1" width="6.83203125" customWidth="1"/>
    <col min="2" max="2" width="4.6640625" customWidth="1"/>
    <col min="3" max="3" width="11.6640625" style="1" customWidth="1"/>
    <col min="4" max="5" width="28.1640625" customWidth="1"/>
    <col min="6" max="6" width="7" customWidth="1"/>
    <col min="12" max="12" width="19.83203125" customWidth="1"/>
  </cols>
  <sheetData>
    <row r="1" spans="1:14" x14ac:dyDescent="0.2">
      <c r="A1" s="2" t="s">
        <v>1</v>
      </c>
      <c r="B1" s="2" t="s">
        <v>6</v>
      </c>
      <c r="C1" s="3" t="s">
        <v>0</v>
      </c>
      <c r="D1" s="2" t="s">
        <v>82</v>
      </c>
      <c r="E1" s="2" t="s">
        <v>83</v>
      </c>
      <c r="F1" s="2" t="s">
        <v>2</v>
      </c>
      <c r="G1" s="2" t="s">
        <v>131</v>
      </c>
      <c r="H1" s="2" t="s">
        <v>132</v>
      </c>
      <c r="I1" s="2" t="s">
        <v>211</v>
      </c>
      <c r="J1" s="2" t="s">
        <v>212</v>
      </c>
      <c r="K1" s="2" t="s">
        <v>11</v>
      </c>
      <c r="L1" s="2" t="s">
        <v>9</v>
      </c>
      <c r="M1" s="2" t="s">
        <v>162</v>
      </c>
      <c r="N1" s="2" t="s">
        <v>163</v>
      </c>
    </row>
    <row r="2" spans="1:14" x14ac:dyDescent="0.2">
      <c r="A2" s="2">
        <v>1</v>
      </c>
      <c r="B2" s="2">
        <v>4</v>
      </c>
      <c r="C2" s="3">
        <f t="shared" ref="C2:C34" si="0">DATEVALUE("2026-01-04")+B2+(A2-1)*7</f>
        <v>46030</v>
      </c>
      <c r="D2" s="2" t="s">
        <v>4</v>
      </c>
      <c r="E2" s="2"/>
      <c r="F2" s="2">
        <v>0</v>
      </c>
      <c r="G2" s="2"/>
      <c r="H2" s="2"/>
      <c r="I2" s="2"/>
      <c r="J2" s="2"/>
      <c r="K2" s="2" t="s">
        <v>10</v>
      </c>
      <c r="L2" s="2" t="s">
        <v>160</v>
      </c>
      <c r="M2" s="2"/>
      <c r="N2" s="2"/>
    </row>
    <row r="3" spans="1:14" x14ac:dyDescent="0.2">
      <c r="A3" s="2">
        <v>1</v>
      </c>
      <c r="B3" s="2">
        <v>4</v>
      </c>
      <c r="C3" s="3">
        <f t="shared" si="0"/>
        <v>46030</v>
      </c>
      <c r="D3" s="2" t="s">
        <v>3</v>
      </c>
      <c r="E3" s="2" t="s">
        <v>81</v>
      </c>
      <c r="F3" s="2">
        <v>1</v>
      </c>
      <c r="I3" s="2" t="s">
        <v>3</v>
      </c>
      <c r="J3" s="2" t="s">
        <v>213</v>
      </c>
      <c r="K3" s="2" t="s">
        <v>10</v>
      </c>
      <c r="L3" s="2" t="s">
        <v>135</v>
      </c>
      <c r="M3" s="2"/>
      <c r="N3" s="2"/>
    </row>
    <row r="4" spans="1:14" x14ac:dyDescent="0.2">
      <c r="A4" s="2">
        <v>2</v>
      </c>
      <c r="B4" s="2">
        <v>2</v>
      </c>
      <c r="C4" s="3">
        <f t="shared" si="0"/>
        <v>46035</v>
      </c>
      <c r="D4" s="2" t="s">
        <v>5</v>
      </c>
      <c r="E4" s="2" t="s">
        <v>84</v>
      </c>
      <c r="F4" s="2">
        <v>2</v>
      </c>
      <c r="I4" s="2" t="s">
        <v>187</v>
      </c>
      <c r="J4" s="2" t="s">
        <v>12</v>
      </c>
      <c r="K4" s="2" t="s">
        <v>10</v>
      </c>
      <c r="L4" s="2" t="s">
        <v>136</v>
      </c>
      <c r="M4" s="2"/>
      <c r="N4" s="2"/>
    </row>
    <row r="5" spans="1:14" x14ac:dyDescent="0.2">
      <c r="A5" s="2">
        <v>2</v>
      </c>
      <c r="B5" s="2">
        <v>2</v>
      </c>
      <c r="C5" s="3">
        <f t="shared" si="0"/>
        <v>46035</v>
      </c>
      <c r="D5" s="2" t="s">
        <v>7</v>
      </c>
      <c r="E5" s="2" t="s">
        <v>85</v>
      </c>
      <c r="F5" s="2">
        <v>3</v>
      </c>
      <c r="I5" s="2" t="s">
        <v>73</v>
      </c>
      <c r="J5" s="2" t="s">
        <v>14</v>
      </c>
      <c r="K5" s="2" t="s">
        <v>161</v>
      </c>
      <c r="L5" s="2"/>
      <c r="M5" s="2" t="s">
        <v>164</v>
      </c>
      <c r="N5" s="2" t="s">
        <v>165</v>
      </c>
    </row>
    <row r="6" spans="1:14" x14ac:dyDescent="0.2">
      <c r="A6" s="2">
        <v>2</v>
      </c>
      <c r="B6" s="2">
        <v>4</v>
      </c>
      <c r="C6" s="3">
        <f t="shared" si="0"/>
        <v>46037</v>
      </c>
      <c r="D6" s="2" t="s">
        <v>8</v>
      </c>
      <c r="E6" s="2" t="s">
        <v>86</v>
      </c>
      <c r="F6" s="2">
        <v>4</v>
      </c>
      <c r="I6" s="2" t="s">
        <v>8</v>
      </c>
      <c r="J6" s="2" t="s">
        <v>13</v>
      </c>
      <c r="K6" s="2" t="s">
        <v>10</v>
      </c>
      <c r="L6" s="2" t="s">
        <v>137</v>
      </c>
      <c r="M6" s="2"/>
      <c r="N6" s="2"/>
    </row>
    <row r="7" spans="1:14" x14ac:dyDescent="0.2">
      <c r="A7" s="2">
        <v>2</v>
      </c>
      <c r="B7" s="2">
        <v>4</v>
      </c>
      <c r="C7" s="3">
        <f t="shared" si="0"/>
        <v>46037</v>
      </c>
      <c r="D7" s="2" t="s">
        <v>15</v>
      </c>
      <c r="E7" s="2" t="s">
        <v>87</v>
      </c>
      <c r="F7" s="2">
        <v>5</v>
      </c>
      <c r="I7" s="2" t="s">
        <v>188</v>
      </c>
      <c r="J7" s="2" t="s">
        <v>19</v>
      </c>
      <c r="K7" s="2" t="s">
        <v>10</v>
      </c>
      <c r="L7" s="2" t="s">
        <v>138</v>
      </c>
      <c r="M7" s="2" t="s">
        <v>164</v>
      </c>
      <c r="N7" s="2" t="s">
        <v>166</v>
      </c>
    </row>
    <row r="8" spans="1:14" x14ac:dyDescent="0.2">
      <c r="A8" s="2">
        <v>3</v>
      </c>
      <c r="B8" s="2">
        <v>5</v>
      </c>
      <c r="C8" s="3">
        <f t="shared" si="0"/>
        <v>46045</v>
      </c>
      <c r="D8" s="2" t="s">
        <v>204</v>
      </c>
      <c r="E8" s="2"/>
      <c r="F8" s="2"/>
      <c r="G8" s="2" t="s">
        <v>205</v>
      </c>
      <c r="H8" s="2" t="s">
        <v>206</v>
      </c>
      <c r="I8" s="2"/>
      <c r="J8" s="2"/>
      <c r="K8" s="2"/>
      <c r="L8" s="2"/>
      <c r="M8" s="2"/>
      <c r="N8" s="2"/>
    </row>
    <row r="9" spans="1:14" x14ac:dyDescent="0.2">
      <c r="A9" s="2">
        <v>3</v>
      </c>
      <c r="B9" s="2">
        <v>2</v>
      </c>
      <c r="C9" s="3">
        <f t="shared" si="0"/>
        <v>46042</v>
      </c>
      <c r="D9" s="2" t="s">
        <v>16</v>
      </c>
      <c r="E9" s="2" t="s">
        <v>88</v>
      </c>
      <c r="F9" s="2">
        <v>6</v>
      </c>
      <c r="I9" s="2" t="s">
        <v>189</v>
      </c>
      <c r="J9" s="2" t="s">
        <v>193</v>
      </c>
      <c r="K9" s="2" t="s">
        <v>10</v>
      </c>
      <c r="L9" s="2" t="s">
        <v>139</v>
      </c>
      <c r="M9" s="2" t="s">
        <v>164</v>
      </c>
      <c r="N9" s="2" t="s">
        <v>167</v>
      </c>
    </row>
    <row r="10" spans="1:14" x14ac:dyDescent="0.2">
      <c r="A10" s="2">
        <v>3</v>
      </c>
      <c r="B10" s="2">
        <v>4</v>
      </c>
      <c r="C10" s="3">
        <f t="shared" si="0"/>
        <v>46044</v>
      </c>
      <c r="D10" s="2" t="s">
        <v>17</v>
      </c>
      <c r="E10" s="2" t="s">
        <v>89</v>
      </c>
      <c r="F10" s="2">
        <v>7</v>
      </c>
      <c r="I10" s="2" t="s">
        <v>191</v>
      </c>
      <c r="J10" s="2" t="s">
        <v>39</v>
      </c>
      <c r="K10" s="2" t="s">
        <v>10</v>
      </c>
      <c r="L10" s="2" t="s">
        <v>140</v>
      </c>
      <c r="M10" s="2"/>
      <c r="N10" s="2"/>
    </row>
    <row r="11" spans="1:14" x14ac:dyDescent="0.2">
      <c r="A11" s="2">
        <v>3</v>
      </c>
      <c r="B11" s="2">
        <v>4</v>
      </c>
      <c r="C11" s="3">
        <f t="shared" si="0"/>
        <v>46044</v>
      </c>
      <c r="D11" s="2" t="s">
        <v>18</v>
      </c>
      <c r="E11" s="2" t="s">
        <v>90</v>
      </c>
      <c r="F11" s="2">
        <v>8</v>
      </c>
      <c r="I11" s="2" t="s">
        <v>190</v>
      </c>
      <c r="J11" s="2" t="s">
        <v>40</v>
      </c>
      <c r="K11" s="2" t="s">
        <v>10</v>
      </c>
      <c r="L11" s="2" t="s">
        <v>141</v>
      </c>
      <c r="M11" s="2" t="s">
        <v>164</v>
      </c>
      <c r="N11" s="2" t="s">
        <v>168</v>
      </c>
    </row>
    <row r="12" spans="1:14" x14ac:dyDescent="0.2">
      <c r="A12" s="2">
        <v>4</v>
      </c>
      <c r="B12" s="2">
        <v>5</v>
      </c>
      <c r="C12" s="3">
        <f t="shared" si="0"/>
        <v>46052</v>
      </c>
      <c r="D12" s="2" t="s">
        <v>69</v>
      </c>
      <c r="E12" s="2"/>
      <c r="F12" s="2"/>
      <c r="G12" s="2" t="s">
        <v>120</v>
      </c>
      <c r="H12" s="2" t="s">
        <v>125</v>
      </c>
      <c r="I12" s="2"/>
      <c r="J12" s="2"/>
      <c r="K12" s="2"/>
      <c r="L12" s="2"/>
      <c r="M12" s="2"/>
      <c r="N12" s="2"/>
    </row>
    <row r="13" spans="1:14" x14ac:dyDescent="0.2">
      <c r="A13" s="2">
        <v>4</v>
      </c>
      <c r="B13" s="2">
        <v>2</v>
      </c>
      <c r="C13" s="3">
        <f t="shared" si="0"/>
        <v>46049</v>
      </c>
      <c r="D13" s="2" t="s">
        <v>24</v>
      </c>
      <c r="E13" s="2" t="s">
        <v>91</v>
      </c>
      <c r="F13" s="2">
        <v>9</v>
      </c>
      <c r="I13" s="2" t="s">
        <v>74</v>
      </c>
      <c r="J13" s="2" t="s">
        <v>20</v>
      </c>
      <c r="K13" s="2" t="s">
        <v>10</v>
      </c>
      <c r="L13" s="2" t="s">
        <v>142</v>
      </c>
    </row>
    <row r="14" spans="1:14" x14ac:dyDescent="0.2">
      <c r="A14" s="2">
        <v>4</v>
      </c>
      <c r="B14" s="2">
        <v>4</v>
      </c>
      <c r="C14" s="3">
        <f t="shared" si="0"/>
        <v>46051</v>
      </c>
      <c r="D14" s="2" t="s">
        <v>192</v>
      </c>
      <c r="M14" s="2" t="s">
        <v>164</v>
      </c>
      <c r="N14" s="2" t="s">
        <v>169</v>
      </c>
    </row>
    <row r="15" spans="1:14" x14ac:dyDescent="0.2">
      <c r="A15" s="2">
        <v>4</v>
      </c>
      <c r="B15" s="2">
        <v>4</v>
      </c>
      <c r="C15" s="3">
        <f t="shared" si="0"/>
        <v>46051</v>
      </c>
      <c r="D15" s="2" t="s">
        <v>209</v>
      </c>
      <c r="E15" s="2" t="s">
        <v>210</v>
      </c>
      <c r="F15" s="2">
        <v>11</v>
      </c>
      <c r="I15" s="2" t="s">
        <v>215</v>
      </c>
      <c r="J15" s="2" t="s">
        <v>216</v>
      </c>
      <c r="K15" s="2" t="s">
        <v>10</v>
      </c>
      <c r="L15" s="2" t="s">
        <v>214</v>
      </c>
    </row>
    <row r="16" spans="1:14" x14ac:dyDescent="0.2">
      <c r="A16" s="2">
        <v>5</v>
      </c>
      <c r="B16" s="2">
        <v>2</v>
      </c>
      <c r="C16" s="3">
        <f t="shared" si="0"/>
        <v>46056</v>
      </c>
      <c r="D16" s="2" t="s">
        <v>25</v>
      </c>
      <c r="E16" s="2" t="s">
        <v>93</v>
      </c>
      <c r="F16" s="2">
        <v>12</v>
      </c>
      <c r="I16" s="2" t="s">
        <v>195</v>
      </c>
      <c r="J16" s="2" t="s">
        <v>42</v>
      </c>
      <c r="K16" s="2" t="s">
        <v>10</v>
      </c>
      <c r="L16" s="2" t="s">
        <v>144</v>
      </c>
      <c r="M16" s="2"/>
      <c r="N16" s="2"/>
    </row>
    <row r="17" spans="1:14" x14ac:dyDescent="0.2">
      <c r="A17" s="2">
        <v>5</v>
      </c>
      <c r="B17" s="2">
        <v>2</v>
      </c>
      <c r="C17" s="3">
        <f t="shared" si="0"/>
        <v>46056</v>
      </c>
      <c r="D17" s="2" t="s">
        <v>26</v>
      </c>
      <c r="E17" s="2" t="s">
        <v>94</v>
      </c>
      <c r="F17" s="2">
        <v>13</v>
      </c>
      <c r="I17" s="2" t="s">
        <v>76</v>
      </c>
      <c r="J17" s="2" t="s">
        <v>22</v>
      </c>
      <c r="K17" s="2" t="s">
        <v>10</v>
      </c>
      <c r="L17" s="2" t="s">
        <v>145</v>
      </c>
      <c r="M17" s="2"/>
      <c r="N17" s="2"/>
    </row>
    <row r="18" spans="1:14" x14ac:dyDescent="0.2">
      <c r="A18" s="2">
        <v>5</v>
      </c>
      <c r="B18" s="2">
        <v>2</v>
      </c>
      <c r="C18" s="3">
        <f>DATEVALUE("2026-01-04")+B18+(A18-1)*7</f>
        <v>46056</v>
      </c>
      <c r="D18" s="2" t="s">
        <v>27</v>
      </c>
      <c r="E18" s="2" t="s">
        <v>92</v>
      </c>
      <c r="F18" s="2">
        <v>10</v>
      </c>
      <c r="I18" s="2" t="s">
        <v>75</v>
      </c>
      <c r="J18" s="2" t="s">
        <v>21</v>
      </c>
      <c r="K18" s="2" t="s">
        <v>10</v>
      </c>
      <c r="L18" s="2" t="s">
        <v>143</v>
      </c>
      <c r="M18" s="2" t="s">
        <v>164</v>
      </c>
      <c r="N18" s="2" t="s">
        <v>217</v>
      </c>
    </row>
    <row r="19" spans="1:14" x14ac:dyDescent="0.2">
      <c r="A19" s="2">
        <v>5</v>
      </c>
      <c r="B19" s="2">
        <v>4</v>
      </c>
      <c r="C19" s="3">
        <f t="shared" si="0"/>
        <v>46058</v>
      </c>
      <c r="D19" s="2" t="s">
        <v>41</v>
      </c>
      <c r="E19" s="2" t="s">
        <v>95</v>
      </c>
      <c r="F19" s="2">
        <v>14</v>
      </c>
      <c r="I19" s="2" t="s">
        <v>77</v>
      </c>
      <c r="J19" s="2" t="s">
        <v>23</v>
      </c>
      <c r="K19" s="2" t="s">
        <v>10</v>
      </c>
      <c r="L19" s="2" t="s">
        <v>146</v>
      </c>
      <c r="M19" s="2" t="s">
        <v>164</v>
      </c>
      <c r="N19" s="2" t="s">
        <v>194</v>
      </c>
    </row>
    <row r="20" spans="1:14" x14ac:dyDescent="0.2">
      <c r="A20" s="2">
        <v>5</v>
      </c>
      <c r="B20" s="2">
        <v>4</v>
      </c>
      <c r="C20" s="3">
        <f t="shared" si="0"/>
        <v>46058</v>
      </c>
      <c r="D20" s="2" t="s">
        <v>43</v>
      </c>
      <c r="E20" s="2" t="s">
        <v>96</v>
      </c>
      <c r="F20" s="2">
        <v>15</v>
      </c>
      <c r="I20" s="2" t="s">
        <v>195</v>
      </c>
      <c r="J20" s="2" t="s">
        <v>44</v>
      </c>
      <c r="K20" s="2" t="s">
        <v>10</v>
      </c>
      <c r="L20" s="2" t="s">
        <v>147</v>
      </c>
      <c r="M20" s="2"/>
      <c r="N20" s="2"/>
    </row>
    <row r="21" spans="1:14" x14ac:dyDescent="0.2">
      <c r="A21" s="2">
        <v>6</v>
      </c>
      <c r="B21" s="2">
        <v>1</v>
      </c>
      <c r="C21" s="3">
        <f t="shared" si="0"/>
        <v>46062</v>
      </c>
      <c r="D21" s="2" t="s">
        <v>218</v>
      </c>
      <c r="E21" s="2"/>
      <c r="F21" s="2"/>
      <c r="G21" s="2" t="s">
        <v>121</v>
      </c>
      <c r="H21" s="2" t="s">
        <v>126</v>
      </c>
      <c r="I21" s="2"/>
      <c r="J21" s="2"/>
      <c r="K21" s="2"/>
      <c r="L21" s="2"/>
      <c r="M21" s="2"/>
      <c r="N21" s="2"/>
    </row>
    <row r="22" spans="1:14" x14ac:dyDescent="0.2">
      <c r="A22" s="2">
        <v>5</v>
      </c>
      <c r="B22" s="2">
        <v>5</v>
      </c>
      <c r="C22" s="3">
        <f t="shared" si="0"/>
        <v>46059</v>
      </c>
      <c r="D22" s="2" t="s">
        <v>45</v>
      </c>
      <c r="E22" s="2"/>
      <c r="F22" s="2"/>
      <c r="G22" s="2" t="s">
        <v>118</v>
      </c>
      <c r="H22" s="2" t="s">
        <v>208</v>
      </c>
      <c r="I22" s="2"/>
      <c r="J22" s="2"/>
      <c r="K22" s="2"/>
      <c r="L22" s="2"/>
      <c r="M22" s="2"/>
      <c r="N22" s="2"/>
    </row>
    <row r="23" spans="1:14" x14ac:dyDescent="0.2">
      <c r="A23" s="2">
        <v>6</v>
      </c>
      <c r="B23" s="2">
        <v>2</v>
      </c>
      <c r="C23" s="3">
        <f t="shared" si="0"/>
        <v>46063</v>
      </c>
      <c r="D23" s="2" t="s">
        <v>28</v>
      </c>
      <c r="E23" s="2" t="s">
        <v>97</v>
      </c>
      <c r="F23" s="2">
        <v>16</v>
      </c>
      <c r="I23" s="2" t="s">
        <v>195</v>
      </c>
      <c r="J23" s="2" t="s">
        <v>47</v>
      </c>
      <c r="K23" s="2" t="s">
        <v>10</v>
      </c>
      <c r="L23" s="2" t="s">
        <v>148</v>
      </c>
      <c r="M23" s="2" t="s">
        <v>164</v>
      </c>
      <c r="N23" s="2" t="s">
        <v>172</v>
      </c>
    </row>
    <row r="24" spans="1:14" x14ac:dyDescent="0.2">
      <c r="A24" s="2">
        <v>6</v>
      </c>
      <c r="B24" s="2">
        <v>2</v>
      </c>
      <c r="C24" s="3">
        <f t="shared" si="0"/>
        <v>46063</v>
      </c>
      <c r="D24" s="2" t="s">
        <v>29</v>
      </c>
      <c r="E24" s="2" t="s">
        <v>98</v>
      </c>
      <c r="F24" s="2">
        <v>17</v>
      </c>
      <c r="I24" s="2" t="s">
        <v>29</v>
      </c>
      <c r="J24" s="2" t="s">
        <v>48</v>
      </c>
      <c r="K24" s="2" t="s">
        <v>10</v>
      </c>
      <c r="L24" s="2" t="s">
        <v>149</v>
      </c>
      <c r="M24" s="2"/>
      <c r="N24" s="2"/>
    </row>
    <row r="25" spans="1:14" x14ac:dyDescent="0.2">
      <c r="A25" s="2">
        <v>6</v>
      </c>
      <c r="B25" s="2">
        <v>4</v>
      </c>
      <c r="C25" s="3">
        <f t="shared" si="0"/>
        <v>46065</v>
      </c>
      <c r="D25" s="2" t="s">
        <v>30</v>
      </c>
      <c r="E25" s="2" t="s">
        <v>99</v>
      </c>
      <c r="F25" s="2">
        <v>18</v>
      </c>
      <c r="I25" s="2" t="s">
        <v>117</v>
      </c>
      <c r="J25" s="2" t="s">
        <v>49</v>
      </c>
      <c r="K25" s="2" t="s">
        <v>10</v>
      </c>
      <c r="L25" s="2" t="s">
        <v>150</v>
      </c>
      <c r="M25" s="2"/>
      <c r="N25" s="2"/>
    </row>
    <row r="26" spans="1:14" x14ac:dyDescent="0.2">
      <c r="A26" s="2">
        <v>7</v>
      </c>
      <c r="B26" s="2">
        <v>1</v>
      </c>
      <c r="C26" s="3">
        <f t="shared" si="0"/>
        <v>46069</v>
      </c>
      <c r="D26" s="2" t="s">
        <v>186</v>
      </c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2">
        <v>8</v>
      </c>
      <c r="B27" s="2">
        <v>1</v>
      </c>
      <c r="C27" s="3">
        <f t="shared" si="0"/>
        <v>46076</v>
      </c>
      <c r="D27" s="2" t="s">
        <v>70</v>
      </c>
      <c r="E27" s="2"/>
      <c r="F27" s="2"/>
      <c r="G27" s="2" t="s">
        <v>122</v>
      </c>
      <c r="H27" s="2" t="s">
        <v>127</v>
      </c>
      <c r="I27" s="2"/>
      <c r="J27" s="2"/>
      <c r="K27" s="2"/>
      <c r="L27" s="2"/>
      <c r="M27" s="2"/>
      <c r="N27" s="2"/>
    </row>
    <row r="28" spans="1:14" x14ac:dyDescent="0.2">
      <c r="A28" s="2">
        <v>8</v>
      </c>
      <c r="B28" s="2">
        <v>2</v>
      </c>
      <c r="C28" s="3">
        <f t="shared" si="0"/>
        <v>46077</v>
      </c>
      <c r="D28" s="2" t="s">
        <v>46</v>
      </c>
      <c r="E28" s="2" t="s">
        <v>100</v>
      </c>
      <c r="F28" s="2">
        <v>19</v>
      </c>
      <c r="I28" s="2" t="s">
        <v>195</v>
      </c>
      <c r="J28" s="2" t="s">
        <v>50</v>
      </c>
      <c r="K28" s="2" t="s">
        <v>10</v>
      </c>
      <c r="L28" s="2" t="s">
        <v>151</v>
      </c>
      <c r="M28" s="2"/>
      <c r="N28" s="2"/>
    </row>
    <row r="29" spans="1:14" x14ac:dyDescent="0.2">
      <c r="A29" s="2">
        <v>8</v>
      </c>
      <c r="B29" s="2">
        <v>2</v>
      </c>
      <c r="C29" s="3">
        <f t="shared" si="0"/>
        <v>46077</v>
      </c>
      <c r="D29" s="2" t="s">
        <v>53</v>
      </c>
      <c r="E29" s="2" t="s">
        <v>101</v>
      </c>
      <c r="F29" s="2">
        <v>20</v>
      </c>
      <c r="I29" s="2" t="s">
        <v>195</v>
      </c>
      <c r="J29" s="2" t="s">
        <v>51</v>
      </c>
      <c r="K29" s="2" t="s">
        <v>10</v>
      </c>
      <c r="L29" s="2" t="s">
        <v>170</v>
      </c>
      <c r="M29" s="2"/>
      <c r="N29" s="2"/>
    </row>
    <row r="30" spans="1:14" x14ac:dyDescent="0.2">
      <c r="A30" s="2">
        <v>8</v>
      </c>
      <c r="B30" s="2">
        <v>2</v>
      </c>
      <c r="C30" s="3">
        <f t="shared" si="0"/>
        <v>46077</v>
      </c>
      <c r="D30" s="2" t="s">
        <v>34</v>
      </c>
      <c r="E30" s="2" t="s">
        <v>102</v>
      </c>
      <c r="F30" s="2">
        <v>21</v>
      </c>
      <c r="I30" s="2" t="s">
        <v>78</v>
      </c>
      <c r="J30" s="2" t="s">
        <v>52</v>
      </c>
      <c r="K30" s="2" t="s">
        <v>10</v>
      </c>
      <c r="L30" s="2" t="s">
        <v>171</v>
      </c>
      <c r="M30" s="2" t="s">
        <v>164</v>
      </c>
      <c r="N30" s="2" t="s">
        <v>173</v>
      </c>
    </row>
    <row r="31" spans="1:14" x14ac:dyDescent="0.2">
      <c r="A31" s="2">
        <v>8</v>
      </c>
      <c r="B31" s="2">
        <v>4</v>
      </c>
      <c r="C31" s="3">
        <f t="shared" si="0"/>
        <v>46079</v>
      </c>
      <c r="D31" s="2" t="s">
        <v>203</v>
      </c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">
      <c r="A32" s="2">
        <v>9</v>
      </c>
      <c r="B32" s="2">
        <v>2</v>
      </c>
      <c r="C32" s="3">
        <f t="shared" si="0"/>
        <v>46084</v>
      </c>
      <c r="D32" s="2" t="s">
        <v>207</v>
      </c>
      <c r="E32" s="2"/>
      <c r="F32" s="2"/>
      <c r="G32" s="2" t="s">
        <v>119</v>
      </c>
      <c r="H32" s="4" t="s">
        <v>130</v>
      </c>
      <c r="I32" s="4"/>
      <c r="J32" s="4"/>
      <c r="K32" s="2"/>
      <c r="L32" s="2"/>
      <c r="M32" s="2"/>
      <c r="N32" s="2"/>
    </row>
    <row r="33" spans="1:14" x14ac:dyDescent="0.2">
      <c r="A33" s="2">
        <v>9</v>
      </c>
      <c r="B33" s="2">
        <v>4</v>
      </c>
      <c r="C33" s="3">
        <f t="shared" si="0"/>
        <v>46086</v>
      </c>
      <c r="D33" s="2" t="s">
        <v>207</v>
      </c>
      <c r="E33" s="2"/>
      <c r="F33" s="2"/>
      <c r="G33" s="2"/>
      <c r="H33" s="4"/>
      <c r="I33" s="4"/>
      <c r="J33" s="4"/>
      <c r="K33" s="2"/>
      <c r="L33" s="2"/>
      <c r="M33" s="2"/>
      <c r="N33" s="2"/>
    </row>
    <row r="34" spans="1:14" x14ac:dyDescent="0.2">
      <c r="A34" s="2">
        <v>10</v>
      </c>
      <c r="B34" s="2">
        <v>2</v>
      </c>
      <c r="C34" s="3">
        <f t="shared" si="0"/>
        <v>46091</v>
      </c>
      <c r="D34" s="2" t="s">
        <v>31</v>
      </c>
      <c r="E34" s="2" t="s">
        <v>103</v>
      </c>
      <c r="F34" s="2">
        <v>22</v>
      </c>
      <c r="G34" s="2"/>
      <c r="H34" s="2"/>
      <c r="I34" s="2"/>
      <c r="J34" s="2"/>
      <c r="K34" s="2" t="s">
        <v>10</v>
      </c>
      <c r="L34" s="2" t="s">
        <v>174</v>
      </c>
      <c r="M34" s="2" t="s">
        <v>164</v>
      </c>
      <c r="N34" s="2" t="s">
        <v>178</v>
      </c>
    </row>
    <row r="35" spans="1:14" x14ac:dyDescent="0.2">
      <c r="A35" s="2">
        <v>10</v>
      </c>
      <c r="B35" s="2">
        <v>4</v>
      </c>
      <c r="C35" s="3">
        <f t="shared" ref="C35:C51" si="1">DATEVALUE("2026-01-04")+B35+(A35-1)*7</f>
        <v>46093</v>
      </c>
      <c r="D35" s="2" t="s">
        <v>32</v>
      </c>
      <c r="E35" s="2" t="s">
        <v>104</v>
      </c>
      <c r="F35" s="2">
        <v>23</v>
      </c>
      <c r="I35" s="2" t="s">
        <v>32</v>
      </c>
      <c r="J35" s="2" t="s">
        <v>60</v>
      </c>
      <c r="K35" s="2" t="s">
        <v>10</v>
      </c>
      <c r="L35" s="2" t="s">
        <v>175</v>
      </c>
      <c r="M35" s="2"/>
      <c r="N35" s="2"/>
    </row>
    <row r="36" spans="1:14" x14ac:dyDescent="0.2">
      <c r="A36" s="2">
        <v>10</v>
      </c>
      <c r="B36" s="2">
        <v>4</v>
      </c>
      <c r="C36" s="3">
        <f t="shared" si="1"/>
        <v>46093</v>
      </c>
      <c r="D36" s="2" t="s">
        <v>33</v>
      </c>
      <c r="E36" s="2" t="s">
        <v>105</v>
      </c>
      <c r="F36" s="2">
        <v>24</v>
      </c>
      <c r="I36" s="2" t="s">
        <v>33</v>
      </c>
      <c r="J36" s="2" t="s">
        <v>61</v>
      </c>
      <c r="K36" s="2" t="s">
        <v>10</v>
      </c>
      <c r="L36" s="2" t="s">
        <v>176</v>
      </c>
      <c r="M36" s="2"/>
      <c r="N36" s="2"/>
    </row>
    <row r="37" spans="1:14" x14ac:dyDescent="0.2">
      <c r="A37" s="2">
        <v>11</v>
      </c>
      <c r="B37" s="2">
        <v>2</v>
      </c>
      <c r="C37" s="3">
        <f t="shared" si="1"/>
        <v>46098</v>
      </c>
      <c r="D37" s="2" t="s">
        <v>35</v>
      </c>
      <c r="E37" s="2" t="s">
        <v>106</v>
      </c>
      <c r="F37" s="2">
        <v>25</v>
      </c>
      <c r="I37" s="2" t="s">
        <v>134</v>
      </c>
      <c r="J37" s="2" t="s">
        <v>133</v>
      </c>
      <c r="K37" s="2" t="s">
        <v>10</v>
      </c>
      <c r="L37" s="2" t="s">
        <v>177</v>
      </c>
      <c r="M37" s="2" t="s">
        <v>164</v>
      </c>
      <c r="N37" s="2" t="s">
        <v>179</v>
      </c>
    </row>
    <row r="38" spans="1:14" x14ac:dyDescent="0.2">
      <c r="A38" s="2">
        <v>11</v>
      </c>
      <c r="B38" s="2">
        <v>4</v>
      </c>
      <c r="C38" s="3">
        <f t="shared" si="1"/>
        <v>46100</v>
      </c>
      <c r="D38" s="2" t="s">
        <v>68</v>
      </c>
      <c r="E38" s="2" t="s">
        <v>107</v>
      </c>
      <c r="F38" s="2">
        <v>26</v>
      </c>
      <c r="G38" s="2"/>
      <c r="H38" s="2"/>
      <c r="I38" s="2"/>
      <c r="J38" s="2"/>
      <c r="K38" s="2" t="s">
        <v>10</v>
      </c>
      <c r="L38" s="2" t="s">
        <v>152</v>
      </c>
      <c r="M38" s="2"/>
      <c r="N38" s="2"/>
    </row>
    <row r="39" spans="1:14" x14ac:dyDescent="0.2">
      <c r="A39" s="2">
        <v>11</v>
      </c>
      <c r="B39" s="2">
        <v>4</v>
      </c>
      <c r="C39" s="3">
        <f t="shared" si="1"/>
        <v>46100</v>
      </c>
      <c r="D39" s="2" t="s">
        <v>58</v>
      </c>
      <c r="E39" s="2" t="s">
        <v>108</v>
      </c>
      <c r="F39" s="2">
        <v>27</v>
      </c>
      <c r="G39" s="2"/>
      <c r="H39" s="2"/>
      <c r="I39" s="2"/>
      <c r="J39" s="2"/>
      <c r="K39" s="2" t="s">
        <v>10</v>
      </c>
      <c r="L39" s="2" t="s">
        <v>153</v>
      </c>
      <c r="M39" s="2"/>
      <c r="N39" s="2"/>
    </row>
    <row r="40" spans="1:14" x14ac:dyDescent="0.2">
      <c r="A40" s="2">
        <v>11</v>
      </c>
      <c r="B40" s="2">
        <v>5</v>
      </c>
      <c r="C40" s="3">
        <f t="shared" si="1"/>
        <v>46101</v>
      </c>
      <c r="D40" s="2" t="s">
        <v>71</v>
      </c>
      <c r="E40" s="2"/>
      <c r="F40" s="2"/>
      <c r="G40" s="2" t="s">
        <v>123</v>
      </c>
      <c r="H40" s="2" t="s">
        <v>128</v>
      </c>
      <c r="I40" s="2"/>
      <c r="J40" s="2"/>
      <c r="K40" s="2"/>
      <c r="L40" s="2"/>
      <c r="M40" s="2"/>
      <c r="N40" s="2"/>
    </row>
    <row r="41" spans="1:14" x14ac:dyDescent="0.2">
      <c r="A41" s="2">
        <v>12</v>
      </c>
      <c r="B41" s="2">
        <v>2</v>
      </c>
      <c r="C41" s="3">
        <f t="shared" si="1"/>
        <v>46105</v>
      </c>
      <c r="D41" s="2" t="s">
        <v>36</v>
      </c>
      <c r="E41" s="2" t="s">
        <v>109</v>
      </c>
      <c r="F41" s="2">
        <v>28</v>
      </c>
      <c r="I41" s="2" t="s">
        <v>195</v>
      </c>
      <c r="J41" s="2" t="s">
        <v>62</v>
      </c>
      <c r="K41" s="2" t="s">
        <v>10</v>
      </c>
      <c r="L41" s="2" t="s">
        <v>154</v>
      </c>
      <c r="M41" s="2" t="s">
        <v>164</v>
      </c>
      <c r="N41" s="2" t="s">
        <v>180</v>
      </c>
    </row>
    <row r="42" spans="1:14" x14ac:dyDescent="0.2">
      <c r="A42" s="2">
        <v>12</v>
      </c>
      <c r="B42" s="2">
        <v>4</v>
      </c>
      <c r="C42" s="3">
        <f t="shared" si="1"/>
        <v>46107</v>
      </c>
      <c r="D42" s="2" t="s">
        <v>56</v>
      </c>
      <c r="E42" s="2" t="s">
        <v>110</v>
      </c>
      <c r="F42" s="2">
        <v>29</v>
      </c>
      <c r="I42" s="2" t="s">
        <v>79</v>
      </c>
      <c r="J42" s="2" t="s">
        <v>63</v>
      </c>
      <c r="K42" s="2" t="s">
        <v>10</v>
      </c>
      <c r="L42" s="2" t="s">
        <v>155</v>
      </c>
      <c r="M42" s="2" t="s">
        <v>164</v>
      </c>
      <c r="N42" s="2" t="s">
        <v>181</v>
      </c>
    </row>
    <row r="43" spans="1:14" x14ac:dyDescent="0.2">
      <c r="A43" s="2">
        <v>12</v>
      </c>
      <c r="B43" s="2">
        <v>4</v>
      </c>
      <c r="C43" s="3">
        <f t="shared" si="1"/>
        <v>46107</v>
      </c>
      <c r="D43" s="2" t="s">
        <v>57</v>
      </c>
      <c r="E43" s="2" t="s">
        <v>111</v>
      </c>
      <c r="F43" s="2">
        <v>30</v>
      </c>
      <c r="I43" s="2" t="s">
        <v>80</v>
      </c>
      <c r="J43" s="2" t="s">
        <v>64</v>
      </c>
      <c r="K43" s="2" t="s">
        <v>10</v>
      </c>
      <c r="L43" s="2" t="s">
        <v>156</v>
      </c>
      <c r="M43" s="2"/>
      <c r="N43" s="2"/>
    </row>
    <row r="44" spans="1:14" x14ac:dyDescent="0.2">
      <c r="A44" s="2">
        <v>14</v>
      </c>
      <c r="B44" s="2">
        <v>1</v>
      </c>
      <c r="C44" s="3">
        <f t="shared" si="1"/>
        <v>46118</v>
      </c>
      <c r="D44" s="2" t="s">
        <v>72</v>
      </c>
      <c r="E44" s="2"/>
      <c r="F44" s="2"/>
      <c r="G44" s="2" t="s">
        <v>124</v>
      </c>
      <c r="H44" s="2" t="s">
        <v>129</v>
      </c>
      <c r="I44" s="2"/>
      <c r="J44" s="2"/>
      <c r="K44" s="2"/>
      <c r="L44" s="2"/>
      <c r="M44" s="2"/>
      <c r="N44" s="2"/>
    </row>
    <row r="45" spans="1:14" x14ac:dyDescent="0.2">
      <c r="A45" s="2">
        <v>13</v>
      </c>
      <c r="B45" s="2">
        <v>2</v>
      </c>
      <c r="C45" s="3">
        <f t="shared" si="1"/>
        <v>46112</v>
      </c>
      <c r="D45" s="2" t="s">
        <v>55</v>
      </c>
      <c r="E45" s="2" t="s">
        <v>112</v>
      </c>
      <c r="F45" s="2">
        <v>31</v>
      </c>
      <c r="I45" s="2" t="s">
        <v>55</v>
      </c>
      <c r="J45" s="2" t="s">
        <v>66</v>
      </c>
      <c r="K45" s="2" t="s">
        <v>10</v>
      </c>
      <c r="L45" s="2" t="s">
        <v>157</v>
      </c>
      <c r="M45" s="2" t="s">
        <v>164</v>
      </c>
      <c r="N45" s="2" t="s">
        <v>183</v>
      </c>
    </row>
    <row r="46" spans="1:14" x14ac:dyDescent="0.2">
      <c r="A46" s="2">
        <v>13</v>
      </c>
      <c r="B46" s="2">
        <v>4</v>
      </c>
      <c r="C46" s="3">
        <f t="shared" si="1"/>
        <v>46114</v>
      </c>
      <c r="D46" s="2" t="s">
        <v>54</v>
      </c>
      <c r="E46" s="2" t="s">
        <v>113</v>
      </c>
      <c r="F46" s="2">
        <v>32</v>
      </c>
      <c r="I46" s="2" t="s">
        <v>195</v>
      </c>
      <c r="J46" s="2" t="s">
        <v>65</v>
      </c>
      <c r="K46" s="2" t="s">
        <v>10</v>
      </c>
      <c r="L46" s="2" t="s">
        <v>158</v>
      </c>
      <c r="M46" s="2" t="s">
        <v>164</v>
      </c>
      <c r="N46" s="2" t="s">
        <v>182</v>
      </c>
    </row>
    <row r="47" spans="1:14" x14ac:dyDescent="0.2">
      <c r="A47" s="2">
        <v>13</v>
      </c>
      <c r="B47" s="2">
        <v>4</v>
      </c>
      <c r="C47" s="3">
        <f t="shared" si="1"/>
        <v>46114</v>
      </c>
      <c r="D47" s="2" t="s">
        <v>37</v>
      </c>
      <c r="E47" s="2" t="s">
        <v>114</v>
      </c>
      <c r="F47" s="2">
        <v>33</v>
      </c>
      <c r="I47" s="2" t="s">
        <v>37</v>
      </c>
      <c r="J47" s="2" t="s">
        <v>67</v>
      </c>
      <c r="K47" s="2" t="s">
        <v>10</v>
      </c>
      <c r="L47" s="2" t="s">
        <v>159</v>
      </c>
      <c r="M47" s="2" t="s">
        <v>164</v>
      </c>
      <c r="N47" s="2" t="s">
        <v>184</v>
      </c>
    </row>
    <row r="48" spans="1:14" x14ac:dyDescent="0.2">
      <c r="A48" s="2">
        <v>14</v>
      </c>
      <c r="B48" s="2">
        <v>2</v>
      </c>
      <c r="C48" s="3">
        <f t="shared" si="1"/>
        <v>46119</v>
      </c>
      <c r="D48" s="2" t="s">
        <v>196</v>
      </c>
      <c r="E48" s="2" t="s">
        <v>197</v>
      </c>
      <c r="F48" s="2">
        <v>34</v>
      </c>
      <c r="G48" s="2"/>
      <c r="H48" s="2"/>
      <c r="I48" s="2"/>
      <c r="J48" s="2"/>
      <c r="K48" s="2" t="s">
        <v>10</v>
      </c>
      <c r="L48" s="2" t="s">
        <v>198</v>
      </c>
      <c r="M48" s="2"/>
      <c r="N48" s="2"/>
    </row>
    <row r="49" spans="1:14" x14ac:dyDescent="0.2">
      <c r="A49" s="2">
        <v>14</v>
      </c>
      <c r="B49" s="2">
        <v>2</v>
      </c>
      <c r="C49" s="3">
        <f t="shared" si="1"/>
        <v>46119</v>
      </c>
      <c r="D49" s="2" t="s">
        <v>38</v>
      </c>
      <c r="E49" s="2" t="s">
        <v>115</v>
      </c>
      <c r="F49" s="2">
        <v>35</v>
      </c>
      <c r="G49" s="2"/>
      <c r="H49" s="2"/>
      <c r="I49" s="2"/>
      <c r="J49" s="2"/>
      <c r="K49" s="2" t="s">
        <v>10</v>
      </c>
      <c r="L49" s="2" t="s">
        <v>199</v>
      </c>
      <c r="M49" s="2" t="s">
        <v>164</v>
      </c>
      <c r="N49" s="2" t="s">
        <v>185</v>
      </c>
    </row>
    <row r="50" spans="1:14" x14ac:dyDescent="0.2">
      <c r="A50" s="2">
        <v>14</v>
      </c>
      <c r="B50" s="2">
        <v>2</v>
      </c>
      <c r="C50" s="3">
        <f t="shared" si="1"/>
        <v>46119</v>
      </c>
      <c r="D50" s="2" t="s">
        <v>59</v>
      </c>
      <c r="E50" s="2" t="s">
        <v>116</v>
      </c>
      <c r="F50" s="2">
        <v>36</v>
      </c>
      <c r="G50" s="2"/>
      <c r="H50" s="2"/>
      <c r="I50" s="2"/>
      <c r="J50" s="2"/>
      <c r="K50" s="2" t="s">
        <v>10</v>
      </c>
      <c r="L50" s="2" t="s">
        <v>200</v>
      </c>
      <c r="M50" s="2"/>
      <c r="N50" s="2"/>
    </row>
    <row r="51" spans="1:14" x14ac:dyDescent="0.2">
      <c r="A51" s="2">
        <v>14</v>
      </c>
      <c r="B51" s="2">
        <v>2</v>
      </c>
      <c r="C51" s="3">
        <f t="shared" si="1"/>
        <v>46119</v>
      </c>
      <c r="D51" s="2" t="s">
        <v>202</v>
      </c>
      <c r="K51" s="2" t="s">
        <v>10</v>
      </c>
      <c r="L51" s="2" t="s">
        <v>201</v>
      </c>
    </row>
  </sheetData>
  <sortState xmlns:xlrd2="http://schemas.microsoft.com/office/spreadsheetml/2017/richdata2" ref="A2:N51">
    <sortCondition ref="A2:A51"/>
    <sortCondition ref="B2:B51"/>
  </sortState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Andrew Irwin</cp:lastModifiedBy>
  <dcterms:created xsi:type="dcterms:W3CDTF">2021-01-05T15:20:27Z</dcterms:created>
  <dcterms:modified xsi:type="dcterms:W3CDTF">2026-02-05T14:56:28Z</dcterms:modified>
</cp:coreProperties>
</file>